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ульт" sheetId="1" state="visible" r:id="rId1"/>
    <sheet xmlns:r="http://schemas.openxmlformats.org/officeDocument/2006/relationships" name="Списки" sheetId="2" state="visible" r:id="rId2"/>
    <sheet xmlns:r="http://schemas.openxmlformats.org/officeDocument/2006/relationships" name="Данные" sheetId="3" state="visible" r:id="rId3"/>
    <sheet xmlns:r="http://schemas.openxmlformats.org/officeDocument/2006/relationships" name="Паспорта" sheetId="4" state="visible" r:id="rId4"/>
    <sheet xmlns:r="http://schemas.openxmlformats.org/officeDocument/2006/relationships" name="Задача" sheetId="5" state="visible" r:id="rId5"/>
    <sheet xmlns:r="http://schemas.openxmlformats.org/officeDocument/2006/relationships" name="Параметр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ТЕРМИНАЛ «АТЛАС» — ПУЛЬТ ДОПУСКА</t>
        </is>
      </c>
    </row>
    <row r="3">
      <c r="A3" s="2" t="inlineStr">
        <is>
          <t>Стратегия</t>
        </is>
      </c>
      <c r="B3" s="3" t="inlineStr">
        <is>
          <t>DZ_S021</t>
        </is>
      </c>
    </row>
    <row r="4">
      <c r="A4" s="2" t="inlineStr">
        <is>
          <t>Инструмент</t>
        </is>
      </c>
      <c r="B4" s="3" t="inlineStr">
        <is>
          <t>MGC</t>
        </is>
      </c>
      <c r="H4">
        <f>IFERROR(INDEX(Данные!$B:$B,MATCH("instrument|"&amp;$B$4&amp;"|STATUS",Данные!$A:$A,0)),"RED")</f>
        <v/>
      </c>
    </row>
    <row r="5">
      <c r="A5" s="2" t="inlineStr">
        <is>
          <t>Режим</t>
        </is>
      </c>
      <c r="B5" s="3" t="inlineStr">
        <is>
          <t>ВОСПРОИЗВЕДЕНИЕ</t>
        </is>
      </c>
    </row>
    <row r="7" ht="34" customHeight="1">
      <c r="A7" s="4">
        <f>IF(OR(COUNTIF(B10:B17,"НЕТ")&gt;0,COUNTIF(B20:B22,"НЕТ")&gt;0,COUNTIF(D25:D29,"СОГЛАСОВАНО")&lt;5),"🔴 ЗАБЛОКИРОВАНО: дефицит элементов или нарушение рисков",IF($B$5="ВОСПРОИЗВЕДЕНИЕ","🟡 ДОПУЩЕНО К ВОСПРОИЗВЕДЕНИЮ РЫНКА",IF($H$4="GOLD","🥇 ЗОЛОТОЙ: ДОПУЩЕНО К РЕАЛЬНОМУ СЧЁТУ",IF($H$4="GREEN","🟢 ДОПУЩЕНО К РЕАЛЬНОМУ СЧЁТУ","🔴 РЕАЛЬНЫЙ СЧЁТ НЕ ДОПУЩЕН: инструмент ниже зелёного"))))</f>
        <v/>
      </c>
    </row>
    <row r="9">
      <c r="A9" s="2" t="inlineStr">
        <is>
          <t>1. СТРАТЕГИЯ — ВОСЕМЬ ЭЛЕМЕНТОВ</t>
        </is>
      </c>
    </row>
    <row r="10">
      <c r="A10" t="inlineStr">
        <is>
          <t>ТЗ на разработку</t>
        </is>
      </c>
      <c r="B10">
        <f>IFERROR(INDEX(Данные!$B:$B,MATCH("strategy|"&amp;$B$3&amp;"|DOC1_TZ",Данные!$A:$A,0)),"НЕТ")</f>
        <v/>
      </c>
    </row>
    <row r="11">
      <c r="A11" t="inlineStr">
        <is>
          <t>Руководство по эксплуатации</t>
        </is>
      </c>
      <c r="B11">
        <f>IFERROR(INDEX(Данные!$B:$B,MATCH("strategy|"&amp;$B$3&amp;"|DOC2_MANUAL",Данные!$A:$A,0)),"НЕТ")</f>
        <v/>
      </c>
    </row>
    <row r="12">
      <c r="A12" t="inlineStr">
        <is>
          <t>Руководство разработчика</t>
        </is>
      </c>
      <c r="B12">
        <f>IFERROR(INDEX(Данные!$B:$B,MATCH("strategy|"&amp;$B$3&amp;"|DOC3_DEV_GUIDE",Данные!$A:$A,0)),"НЕТ")</f>
        <v/>
      </c>
    </row>
    <row r="13">
      <c r="A13" t="inlineStr">
        <is>
          <t>Словарь меню настроек</t>
        </is>
      </c>
      <c r="B13">
        <f>IFERROR(INDEX(Данные!$B:$B,MATCH("strategy|"&amp;$B$3&amp;"|DOC4_SETTINGS_DICT",Данные!$A:$A,0)),"НЕТ")</f>
        <v/>
      </c>
    </row>
    <row r="14">
      <c r="A14" t="inlineStr">
        <is>
          <t>Карта связей настроек</t>
        </is>
      </c>
      <c r="B14">
        <f>IFERROR(INDEX(Данные!$B:$B,MATCH("strategy|"&amp;$B$3&amp;"|DOC5_SETTINGS_LINKS",Данные!$A:$A,0)),"НЕТ")</f>
        <v/>
      </c>
    </row>
    <row r="15">
      <c r="A15" t="inlineStr">
        <is>
          <t>Перечень модулей</t>
        </is>
      </c>
      <c r="B15">
        <f>IFERROR(INDEX(Данные!$B:$B,MATCH("strategy|"&amp;$B$3&amp;"|DOC6_MODULES",Данные!$A:$A,0)),"НЕТ")</f>
        <v/>
      </c>
    </row>
    <row r="16">
      <c r="A16" t="inlineStr">
        <is>
          <t>Сертификат допуска</t>
        </is>
      </c>
      <c r="B16">
        <f>IFERROR(INDEX(Данные!$B:$B,MATCH("strategy|"&amp;$B$3&amp;"|DOC7_TRADING_CERTIFICATE",Данные!$A:$A,0)),"НЕТ")</f>
        <v/>
      </c>
    </row>
    <row r="17">
      <c r="A17" t="inlineStr">
        <is>
          <t>Исходник C# движка</t>
        </is>
      </c>
      <c r="B17">
        <f>IFERROR(INDEX(Данные!$B:$B,MATCH("strategy|"&amp;$B$3&amp;"|DOC8_ENGINE_CS",Данные!$A:$A,0)),"НЕТ")</f>
        <v/>
      </c>
    </row>
    <row r="19">
      <c r="A19" s="2" t="inlineStr">
        <is>
          <t>2. ИНСТРУМЕНТ — ТРИ РЕСУРСА</t>
        </is>
      </c>
    </row>
    <row r="20">
      <c r="A20" t="inlineStr">
        <is>
          <t>Паспорт, сверен с NinjaTrader</t>
        </is>
      </c>
      <c r="B20">
        <f>IFERROR(INDEX(Данные!$B:$B,MATCH("instrument|"&amp;$B$4&amp;"|PASSPORT",Данные!$A:$A,0)),"НЕТ")</f>
        <v/>
      </c>
    </row>
    <row r="21">
      <c r="A21" t="inlineStr">
        <is>
          <t>Сертификат данных</t>
        </is>
      </c>
      <c r="B21">
        <f>IFERROR(INDEX(Данные!$B:$B,MATCH("instrument|"&amp;$B$4&amp;"|DATA_CERT",Данные!$A:$A,0)),"НЕТ")</f>
        <v/>
      </c>
    </row>
    <row r="22">
      <c r="A22" t="inlineStr">
        <is>
          <t>Отпечатки данных целы</t>
        </is>
      </c>
      <c r="B22">
        <f>IFERROR(INDEX(Данные!$B:$B,MATCH("instrument|"&amp;$B$4&amp;"|DATA_INTEGRITY",Данные!$A:$A,0)),"НЕТ")</f>
        <v/>
      </c>
    </row>
    <row r="24">
      <c r="A24" s="2" t="inlineStr">
        <is>
          <t>Параметр</t>
        </is>
      </c>
      <c r="B24" s="2" t="inlineStr">
        <is>
          <t>Стратегия (ввод)</t>
        </is>
      </c>
      <c r="C24" s="2" t="inlineStr">
        <is>
          <t>Паспорт</t>
        </is>
      </c>
      <c r="D24" s="2" t="inlineStr">
        <is>
          <t>Согласование</t>
        </is>
      </c>
    </row>
    <row r="25">
      <c r="A25" t="inlineStr">
        <is>
          <t>Стоп, тиков</t>
        </is>
      </c>
      <c r="B25" s="3" t="n">
        <v>200</v>
      </c>
      <c r="C25">
        <f>IFERROR(INDEX(Паспорта!$C:$C,MATCH($B$4,Паспорта!$A:$A,0)),0)</f>
        <v/>
      </c>
      <c r="D25">
        <f>IF(B25&lt;=C25,"СОГЛАСОВАНО","ПРЕВЫШЕНИЕ РИСКА")</f>
        <v/>
      </c>
    </row>
    <row r="26">
      <c r="A26" t="inlineStr">
        <is>
          <t>Дневной лимит потерь</t>
        </is>
      </c>
      <c r="B26" s="3" t="n">
        <v>1500</v>
      </c>
      <c r="C26">
        <f>IFERROR(INDEX(Паспорта!$D:$D,MATCH($B$4,Паспорта!$A:$A,0)),0)</f>
        <v/>
      </c>
      <c r="D26">
        <f>IF(B26&lt;=C26,"СОГЛАСОВАНО","ПРЕВЫШЕНИЕ РИСКА")</f>
        <v/>
      </c>
    </row>
    <row r="27">
      <c r="A27" t="inlineStr">
        <is>
          <t>Издержки круга на контракт</t>
        </is>
      </c>
      <c r="B27" s="3" t="n">
        <v>0.44</v>
      </c>
      <c r="C27">
        <f>IFERROR(INDEX(Паспорта!$E:$E,MATCH($B$4,Паспорта!$A:$A,0)),0)</f>
        <v/>
      </c>
      <c r="D27">
        <f>IF(B27&gt;=C27,"СОГЛАСОВАНО","ЗАНИЖЕНЫ ИЗДЕРЖКИ")</f>
        <v/>
      </c>
    </row>
    <row r="28">
      <c r="A28" t="inlineStr">
        <is>
          <t>Проскальзывание, тиков на исполнение</t>
        </is>
      </c>
      <c r="B28" s="3" t="n">
        <v>1</v>
      </c>
      <c r="C28">
        <f>IFERROR(INDEX(Паспорта!$F:$F,MATCH($B$4,Паспорта!$A:$A,0)),0)</f>
        <v/>
      </c>
      <c r="D28">
        <f>IF(B28&gt;=C28,"СОГЛАСОВАНО","ЗАНИЖЕНО ПРОСКАЛЬЗЫВАНИЕ")</f>
        <v/>
      </c>
    </row>
    <row r="29">
      <c r="A29" t="inlineStr">
        <is>
          <t>Отступ безубытка, тиков</t>
        </is>
      </c>
      <c r="B29" s="3" t="n">
        <v>2</v>
      </c>
      <c r="C29">
        <f>IFERROR(INDEX(Паспорта!$G:$G,MATCH($B$4,Паспорта!$A:$A,0)),0)</f>
        <v/>
      </c>
      <c r="D29">
        <f>IF(B29&gt;=C29,"СОГЛАСОВАНО","НЕ ПОКРЫВАЕТ ИЗДЕРЖКИ")</f>
        <v/>
      </c>
    </row>
  </sheetData>
  <mergeCells count="1">
    <mergeCell ref="A7:D7"/>
  </mergeCells>
  <conditionalFormatting sqref="B10:B17">
    <cfRule type="expression" priority="1" dxfId="0">
      <formula>B10="НЕТ"</formula>
    </cfRule>
    <cfRule type="expression" priority="2" dxfId="1">
      <formula>B10="ДА"</formula>
    </cfRule>
  </conditionalFormatting>
  <conditionalFormatting sqref="B20:B22">
    <cfRule type="expression" priority="3" dxfId="0">
      <formula>B20="НЕТ"</formula>
    </cfRule>
    <cfRule type="expression" priority="4" dxfId="1">
      <formula>B20="ДА"</formula>
    </cfRule>
  </conditionalFormatting>
  <conditionalFormatting sqref="D25:D29">
    <cfRule type="expression" priority="5" dxfId="0">
      <formula>D25&lt;&gt;"СОГЛАСОВАНО"</formula>
    </cfRule>
    <cfRule type="expression" priority="6" dxfId="1">
      <formula>D25="СОГЛАСОВАНО"</formula>
    </cfRule>
  </conditionalFormatting>
  <conditionalFormatting sqref="A7">
    <cfRule type="expression" priority="7" dxfId="2">
      <formula>LEFT($A$7,1)=LEFT("🔴",1)</formula>
    </cfRule>
    <cfRule type="expression" priority="8" dxfId="3">
      <formula>LEFT($A$7,1)=LEFT("🟡",1)</formula>
    </cfRule>
    <cfRule type="expression" priority="9" dxfId="1">
      <formula>LEFT($A$7,1)=LEFT("🟢",1)</formula>
    </cfRule>
    <cfRule type="expression" priority="10" dxfId="4">
      <formula>LEFT($A$7,1)=LEFT("🥇",1)</formula>
    </cfRule>
  </conditionalFormatting>
  <dataValidations count="3">
    <dataValidation sqref="B3" showDropDown="0" showInputMessage="0" showErrorMessage="0" allowBlank="0" type="list">
      <formula1>=Списки!$A$2:$A$2</formula1>
    </dataValidation>
    <dataValidation sqref="B4" showDropDown="0" showInputMessage="0" showErrorMessage="0" allowBlank="0" type="list">
      <formula1>=Списки!$B$2:$B$2</formula1>
    </dataValidation>
    <dataValidation sqref="B5" showDropDown="0" showInputMessage="0" showErrorMessage="0" allowBlank="0" type="list">
      <formula1>=Списки!$C$2:$C$3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Стратегии</t>
        </is>
      </c>
      <c r="B1" t="inlineStr">
        <is>
          <t>Инструменты</t>
        </is>
      </c>
      <c r="C1" t="inlineStr">
        <is>
          <t>Режимы</t>
        </is>
      </c>
    </row>
    <row r="2">
      <c r="A2" t="inlineStr">
        <is>
          <t>DZ_S021</t>
        </is>
      </c>
      <c r="B2" t="inlineStr">
        <is>
          <t>MGC</t>
        </is>
      </c>
      <c r="C2" t="inlineStr">
        <is>
          <t>ВОСПРОИЗВЕДЕНИЕ</t>
        </is>
      </c>
    </row>
    <row r="3">
      <c r="C3" t="inlineStr">
        <is>
          <t>РЕАЛЬНЫЙ СЧЁТ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Значение</t>
        </is>
      </c>
    </row>
    <row r="2">
      <c r="A2" t="inlineStr">
        <is>
          <t>strategy|DZ_S021|DOC1_TZ</t>
        </is>
      </c>
      <c r="B2" t="inlineStr">
        <is>
          <t>ДА</t>
        </is>
      </c>
    </row>
    <row r="3">
      <c r="A3" t="inlineStr">
        <is>
          <t>strategy|DZ_S021|DOC2_MANUAL</t>
        </is>
      </c>
      <c r="B3" t="inlineStr">
        <is>
          <t>ДА</t>
        </is>
      </c>
    </row>
    <row r="4">
      <c r="A4" t="inlineStr">
        <is>
          <t>strategy|DZ_S021|DOC3_DEV_GUIDE</t>
        </is>
      </c>
      <c r="B4" t="inlineStr">
        <is>
          <t>ДА</t>
        </is>
      </c>
    </row>
    <row r="5">
      <c r="A5" t="inlineStr">
        <is>
          <t>strategy|DZ_S021|DOC4_SETTINGS_DICT</t>
        </is>
      </c>
      <c r="B5" t="inlineStr">
        <is>
          <t>ДА</t>
        </is>
      </c>
    </row>
    <row r="6">
      <c r="A6" t="inlineStr">
        <is>
          <t>strategy|DZ_S021|DOC5_SETTINGS_LINKS</t>
        </is>
      </c>
      <c r="B6" t="inlineStr">
        <is>
          <t>ДА</t>
        </is>
      </c>
    </row>
    <row r="7">
      <c r="A7" t="inlineStr">
        <is>
          <t>strategy|DZ_S021|DOC6_MODULES</t>
        </is>
      </c>
      <c r="B7" t="inlineStr">
        <is>
          <t>ДА</t>
        </is>
      </c>
    </row>
    <row r="8">
      <c r="A8" t="inlineStr">
        <is>
          <t>strategy|DZ_S021|DOC7_TRADING_CERTIFICATE</t>
        </is>
      </c>
      <c r="B8" t="inlineStr">
        <is>
          <t>ДА</t>
        </is>
      </c>
    </row>
    <row r="9">
      <c r="A9" t="inlineStr">
        <is>
          <t>strategy|DZ_S021|DOC8_ENGINE_CS</t>
        </is>
      </c>
      <c r="B9" t="inlineStr">
        <is>
          <t>ДА</t>
        </is>
      </c>
    </row>
    <row r="10">
      <c r="A10" t="inlineStr">
        <is>
          <t>instrument|MGC|PASSPORT</t>
        </is>
      </c>
      <c r="B10" t="inlineStr">
        <is>
          <t>ДА</t>
        </is>
      </c>
    </row>
    <row r="11">
      <c r="A11" t="inlineStr">
        <is>
          <t>instrument|MGC|DATA_CERT</t>
        </is>
      </c>
      <c r="B11" t="inlineStr">
        <is>
          <t>ДА</t>
        </is>
      </c>
    </row>
    <row r="12">
      <c r="A12" t="inlineStr">
        <is>
          <t>instrument|MGC|DATA_INTEGRITY</t>
        </is>
      </c>
      <c r="B12" t="inlineStr">
        <is>
          <t>ДА</t>
        </is>
      </c>
    </row>
    <row r="13">
      <c r="A13" t="inlineStr">
        <is>
          <t>instrument|MGC|STATUS</t>
        </is>
      </c>
      <c r="B13" t="inlineStr">
        <is>
          <t>YELLOW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Инструмент</t>
        </is>
      </c>
      <c r="B1" t="inlineStr">
        <is>
          <t>Тик, валюта</t>
        </is>
      </c>
      <c r="C1" t="inlineStr">
        <is>
          <t>Макс. стоп, тиков</t>
        </is>
      </c>
      <c r="D1" t="inlineStr">
        <is>
          <t>Дневной лимит</t>
        </is>
      </c>
      <c r="E1" t="inlineStr">
        <is>
          <t>Круг, валюта</t>
        </is>
      </c>
      <c r="F1" t="inlineStr">
        <is>
          <t>Проскальз., тиков</t>
        </is>
      </c>
      <c r="G1" t="inlineStr">
        <is>
          <t>Мин. безубыток, тиков</t>
        </is>
      </c>
    </row>
    <row r="2">
      <c r="A2" t="inlineStr">
        <is>
          <t>MGC</t>
        </is>
      </c>
      <c r="B2" t="n">
        <v>1</v>
      </c>
      <c r="C2" t="n">
        <v>1000</v>
      </c>
      <c r="D2" t="n">
        <v>1500</v>
      </c>
      <c r="E2" t="n">
        <v>0.44</v>
      </c>
      <c r="F2" t="n">
        <v>1</v>
      </c>
      <c r="G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Значение</t>
        </is>
      </c>
    </row>
    <row r="2">
      <c r="A2" t="inlineStr">
        <is>
          <t>data</t>
        </is>
      </c>
      <c r="B2" t="inlineStr">
        <is>
          <t>mgc.npz</t>
        </is>
      </c>
    </row>
    <row r="3">
      <c r="A3" t="inlineStr">
        <is>
          <t>out</t>
        </is>
      </c>
      <c r="B3" t="inlineStr">
        <is>
          <t>term_results</t>
        </is>
      </c>
    </row>
    <row r="4">
      <c r="A4" t="inlineStr">
        <is>
          <t>instrument</t>
        </is>
      </c>
      <c r="B4" t="inlineStr">
        <is>
          <t>MGC</t>
        </is>
      </c>
    </row>
    <row r="5">
      <c r="A5" t="inlineStr">
        <is>
          <t>module_file</t>
        </is>
      </c>
    </row>
    <row r="6">
      <c r="A6" t="inlineStr">
        <is>
          <t>module_class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</t>
        </is>
      </c>
      <c r="C1" t="inlineStr">
        <is>
          <t>stop_ticks</t>
        </is>
      </c>
      <c r="D1" t="inlineStr">
        <is>
          <t>target_ticks</t>
        </is>
      </c>
      <c r="E1" t="inlineStr">
        <is>
          <t>slippage</t>
        </is>
      </c>
      <c r="F1" t="inlineStr">
        <is>
          <t>limit</t>
        </is>
      </c>
    </row>
    <row r="2">
      <c r="A2" t="inlineStr">
        <is>
          <t>mom20</t>
        </is>
      </c>
      <c r="B2" t="n">
        <v>20</v>
      </c>
      <c r="C2" t="n">
        <v>20</v>
      </c>
      <c r="D2" t="n">
        <v>40</v>
      </c>
      <c r="E2" t="n">
        <v>1</v>
      </c>
      <c r="F2" t="inlineStr">
        <is>
          <t>through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2026-09-28T15:05:35Z</dcterms:created>
  <dcterms:modified xmlns:dcterms="http://purl.org/dc/terms/" xmlns:xsi="http://www.w3.org/2001/XMLSchema-instance" xsi:type="dcterms:W3CDTF">2026-09-28T15:05:35Z</dcterms:modified>
</cp:coreProperties>
</file>